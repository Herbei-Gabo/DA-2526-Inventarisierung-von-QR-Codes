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updateLinks="never"/>
  <mc:AlternateContent xmlns:mc="http://schemas.openxmlformats.org/markup-compatibility/2006">
    <mc:Choice Requires="x15">
      <x15ac:absPath xmlns:x15ac="http://schemas.microsoft.com/office/spreadsheetml/2010/11/ac" url="C:\Users\Andre\Desktop\_02-01-2026Diplomarbeit\_Diplomarbeit\"/>
    </mc:Choice>
  </mc:AlternateContent>
  <xr:revisionPtr revIDLastSave="0" documentId="13_ncr:1_{74B49CF9-F19C-46A5-BF28-5ECA551416C1}" xr6:coauthVersionLast="47" xr6:coauthVersionMax="47" xr10:uidLastSave="{00000000-0000-0000-0000-000000000000}"/>
  <bookViews>
    <workbookView xWindow="1820" yWindow="1820" windowWidth="25800" windowHeight="10060" tabRatio="520" xr2:uid="{00000000-000D-0000-FFFF-FFFF00000000}"/>
  </bookViews>
  <sheets>
    <sheet name="Gesamtinventar" sheetId="20" r:id="rId1"/>
  </sheets>
  <definedNames>
    <definedName name="_xlnm._FilterDatabase" localSheetId="0" hidden="1">Gesamtinventar!$A$1:$X$28</definedName>
    <definedName name="Beamer">#REF!</definedName>
    <definedName name="_xlnm.Print_Area" localSheetId="0">Gesamtinventar!$A$1:$S$28</definedName>
    <definedName name="_xlnm.Print_Titles" localSheetId="0">Gesamtinventar!$1:$1</definedName>
    <definedName name="Raum">#REF!</definedName>
    <definedName name="Raum1">#REF!</definedName>
    <definedName name="Räu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0" l="1"/>
  <c r="L2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Günther Hutter</author>
  </authors>
  <commentList>
    <comment ref="R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Günther Hutter:</t>
        </r>
        <r>
          <rPr>
            <sz val="9"/>
            <color indexed="81"/>
            <rFont val="Segoe UI"/>
            <family val="2"/>
          </rPr>
          <t xml:space="preserve">
Diese Spalte ist aus meiner Sicht nur zur Information. Die Raumnummer ist eindeutig(er)
</t>
        </r>
      </text>
    </comment>
  </commentList>
</comments>
</file>

<file path=xl/sharedStrings.xml><?xml version="1.0" encoding="utf-8"?>
<sst xmlns="http://schemas.openxmlformats.org/spreadsheetml/2006/main" count="301" uniqueCount="179">
  <si>
    <t>Bereich</t>
  </si>
  <si>
    <t>Produkt</t>
  </si>
  <si>
    <t>Lieferant</t>
  </si>
  <si>
    <t>ReDat</t>
  </si>
  <si>
    <t>ReNr</t>
  </si>
  <si>
    <t>Stk.</t>
  </si>
  <si>
    <t>Betrag inkl. MWSt.</t>
  </si>
  <si>
    <t>Gesamt</t>
  </si>
  <si>
    <t>Standort</t>
  </si>
  <si>
    <t>SerNr</t>
  </si>
  <si>
    <t>Type/Name</t>
  </si>
  <si>
    <t>Garantie bis</t>
  </si>
  <si>
    <t>InvNr</t>
  </si>
  <si>
    <t>entinv. am (Begründung bei Beschreibung)</t>
  </si>
  <si>
    <t>Einbringer/in</t>
  </si>
  <si>
    <t>Verantwortliche/r</t>
  </si>
  <si>
    <t>Kasteninfo</t>
  </si>
  <si>
    <t>Standortbezeichnung (zur Info für Kep), Physik alte Inv Nr</t>
  </si>
  <si>
    <t>Beschreibung / Zweck</t>
  </si>
  <si>
    <t>IT</t>
  </si>
  <si>
    <t>HG</t>
  </si>
  <si>
    <t>N7</t>
  </si>
  <si>
    <t>K12</t>
  </si>
  <si>
    <t>KUW</t>
  </si>
  <si>
    <t>AV</t>
  </si>
  <si>
    <t> </t>
  </si>
  <si>
    <t>KEP</t>
  </si>
  <si>
    <t>Werkstoffprüfung</t>
  </si>
  <si>
    <t>K13a</t>
  </si>
  <si>
    <t>HA</t>
  </si>
  <si>
    <t>fehlt</t>
  </si>
  <si>
    <t>MakerLab</t>
  </si>
  <si>
    <t>K6</t>
  </si>
  <si>
    <t>LECH</t>
  </si>
  <si>
    <t>Chemie</t>
  </si>
  <si>
    <t>RET</t>
  </si>
  <si>
    <t>Ost</t>
  </si>
  <si>
    <t>POA</t>
  </si>
  <si>
    <t>WD BLUE 3D NANO 500GB SSD</t>
  </si>
  <si>
    <t>eingebaut in PC</t>
  </si>
  <si>
    <t>194164806042</t>
  </si>
  <si>
    <t>408-05-83-19</t>
  </si>
  <si>
    <t>Verbaut in 18SCM01LEHR</t>
  </si>
  <si>
    <t>Medienkasten</t>
  </si>
  <si>
    <t>Medien/Schulwerbung</t>
  </si>
  <si>
    <t>OST</t>
  </si>
  <si>
    <t>Nachinventarisierung 2021</t>
  </si>
  <si>
    <t>K13</t>
  </si>
  <si>
    <t>Monitor AOC E2460PDA 24" inkl. 5 Jahre Vor-Ort-Garantie</t>
  </si>
  <si>
    <t>omegacom</t>
  </si>
  <si>
    <t>Liste mit SerNr vorhanden</t>
  </si>
  <si>
    <t>E2460PDA</t>
  </si>
  <si>
    <t>bis Nov. 2019</t>
  </si>
  <si>
    <t>N6</t>
  </si>
  <si>
    <t>K5</t>
  </si>
  <si>
    <t>K4</t>
  </si>
  <si>
    <t>BA</t>
  </si>
  <si>
    <t>408-09-60-14</t>
  </si>
  <si>
    <t>Triotronik</t>
  </si>
  <si>
    <t>Accesspoint hAP</t>
  </si>
  <si>
    <t>ENTSORGT</t>
  </si>
  <si>
    <t>408-24-05-20</t>
  </si>
  <si>
    <t>Router für AR/VR (mit SMB): Defekt ausgeschieden am 2024-04-26</t>
  </si>
  <si>
    <t>R14</t>
  </si>
  <si>
    <t>Logitech Lautsprecher Z200</t>
  </si>
  <si>
    <t>TEKAEF</t>
  </si>
  <si>
    <t>TVAAR1321151</t>
  </si>
  <si>
    <t>BK</t>
  </si>
  <si>
    <t>408-34-01-19</t>
  </si>
  <si>
    <t>Conrad</t>
  </si>
  <si>
    <t>Automatisierung</t>
  </si>
  <si>
    <t>Physik</t>
  </si>
  <si>
    <t>ET</t>
  </si>
  <si>
    <t>SUP</t>
  </si>
  <si>
    <t>ETLab</t>
  </si>
  <si>
    <t>electronicshop24</t>
  </si>
  <si>
    <t>ELMAG Säulenbohrmaschine</t>
  </si>
  <si>
    <t>Kellner &amp; Kunz</t>
  </si>
  <si>
    <t>441-02-01-00</t>
  </si>
  <si>
    <t>Ofenraum</t>
  </si>
  <si>
    <t>Trockenofen</t>
  </si>
  <si>
    <t>Bartelt</t>
  </si>
  <si>
    <t>456-02-01-21</t>
  </si>
  <si>
    <t>Trocknen, Feuchtebestimmung</t>
  </si>
  <si>
    <t>SPS Schulungstafeln S7-300 Aut-Lab</t>
  </si>
  <si>
    <t>513-01-01-17</t>
  </si>
  <si>
    <t>Arbeitsplatz 2</t>
  </si>
  <si>
    <t>513-01-02-17</t>
  </si>
  <si>
    <t>Arbeitsplatz 3</t>
  </si>
  <si>
    <t>513-01-03-17</t>
  </si>
  <si>
    <t>Arbeitsplatz 4</t>
  </si>
  <si>
    <t>513-01-04-17</t>
  </si>
  <si>
    <t>Arbeitsplatz 5</t>
  </si>
  <si>
    <t>513-01-05-17</t>
  </si>
  <si>
    <t>Arbeitsplatz 6</t>
  </si>
  <si>
    <t>513-01-06-17</t>
  </si>
  <si>
    <t>Arbeitsplatz 9</t>
  </si>
  <si>
    <t>513-01-07-17</t>
  </si>
  <si>
    <t>Arbeitsplatz 10</t>
  </si>
  <si>
    <t>513-01-08-17</t>
  </si>
  <si>
    <t>Arbeitsplatz 11</t>
  </si>
  <si>
    <t>Digital Oszilloskop Rigol DS1054Z</t>
  </si>
  <si>
    <t>540-01-01-19</t>
  </si>
  <si>
    <t>540-01-02-19</t>
  </si>
  <si>
    <t>540-01-03-19</t>
  </si>
  <si>
    <t>540-01-04-19</t>
  </si>
  <si>
    <t>Wärmebildkamera Flir i7 education pack Infrarot</t>
  </si>
  <si>
    <t>InfrarotTec Systems</t>
  </si>
  <si>
    <t>S/N601024164</t>
  </si>
  <si>
    <t>Flir i7</t>
  </si>
  <si>
    <t>540-02-01-12</t>
  </si>
  <si>
    <t>Werkstoffprüflabor</t>
  </si>
  <si>
    <t>Kam</t>
  </si>
  <si>
    <t>Anneliese Hemmer</t>
  </si>
  <si>
    <t>"Blaine" Luftdurchlässigkeitsprüfgerät</t>
  </si>
  <si>
    <t>541-19-01-98</t>
  </si>
  <si>
    <t>Retsch Laborbackenbrecher BB200</t>
  </si>
  <si>
    <t>541-21-01-14</t>
  </si>
  <si>
    <t>Cemtec Kugelmühle</t>
  </si>
  <si>
    <t>541-22-01-14</t>
  </si>
  <si>
    <t>Conatex</t>
  </si>
  <si>
    <t>Biotech</t>
  </si>
  <si>
    <t>Festo-Bionic-Kit</t>
  </si>
  <si>
    <t>Festo</t>
  </si>
  <si>
    <t>543-07-01-21</t>
  </si>
  <si>
    <t>PRE</t>
  </si>
  <si>
    <t>Kep</t>
  </si>
  <si>
    <t>MS Wireless Display Adapter</t>
  </si>
  <si>
    <t>MediaMarkt</t>
  </si>
  <si>
    <t>Nr.: 42220931</t>
  </si>
  <si>
    <t>Conatex Physikkasten Optik</t>
  </si>
  <si>
    <t>544-11-01-17</t>
  </si>
  <si>
    <t>408-42-27-22</t>
  </si>
  <si>
    <t>HAMA Dreibeinstativ Action 165 3D</t>
  </si>
  <si>
    <t>560-05-01-20</t>
  </si>
  <si>
    <t>Pre</t>
  </si>
  <si>
    <t>Photometer EMCLAB</t>
  </si>
  <si>
    <t xml:space="preserve">WINLAB </t>
  </si>
  <si>
    <t>540-08-01-23</t>
  </si>
  <si>
    <t>Kach</t>
  </si>
  <si>
    <t>Festo Bionics Kit</t>
  </si>
  <si>
    <t>542-11-04-25</t>
  </si>
  <si>
    <t>Festo BionicsLab</t>
  </si>
  <si>
    <t>542-11-05-25</t>
  </si>
  <si>
    <t>Theremin</t>
  </si>
  <si>
    <t>Amazon</t>
  </si>
  <si>
    <t>541-24-04-25</t>
  </si>
  <si>
    <t>Geigerzähler</t>
  </si>
  <si>
    <t>541-24-05-25</t>
  </si>
  <si>
    <t>Wärmebildkamera für Handy</t>
  </si>
  <si>
    <t>541-24-06-25</t>
  </si>
  <si>
    <t>Laserkommunikationskit</t>
  </si>
  <si>
    <t>541-24-07-25</t>
  </si>
  <si>
    <t>VISOCOLOR® ECO Analysenkoffer</t>
  </si>
  <si>
    <t>542-11-02-25</t>
  </si>
  <si>
    <t>542-11-03-25</t>
  </si>
  <si>
    <t>Hochleistungs-Tischzentrifuge CF-10</t>
  </si>
  <si>
    <t>VISOCOLOR® Bodenkoffer</t>
  </si>
  <si>
    <t>542-11-06-25</t>
  </si>
  <si>
    <t>Wärmepumpen-Modell</t>
  </si>
  <si>
    <t>542-11-01-25</t>
  </si>
  <si>
    <t>Samsung Galaxy Tab S6 Lite Wifi</t>
  </si>
  <si>
    <t>mylemon</t>
  </si>
  <si>
    <t>408-08-01-20</t>
  </si>
  <si>
    <t xml:space="preserve">MAT </t>
  </si>
  <si>
    <t>Vernier GoDirect Polarimeter</t>
  </si>
  <si>
    <t>AustroTec</t>
  </si>
  <si>
    <t>542-11-003-23</t>
  </si>
  <si>
    <t>K10</t>
  </si>
  <si>
    <t>Allgemein</t>
  </si>
  <si>
    <t>Gabelhubwagen</t>
  </si>
  <si>
    <t>LBE GmbH</t>
  </si>
  <si>
    <t>523-01-01-99</t>
  </si>
  <si>
    <t>Internat</t>
  </si>
  <si>
    <t>Hydraulik</t>
  </si>
  <si>
    <t>Hydraulikprüfstand</t>
  </si>
  <si>
    <t>Neuson Hydrotec</t>
  </si>
  <si>
    <t>541-23-01-16</t>
  </si>
  <si>
    <t>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</si>
</sst>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€&quot;\ * #,##0.00_-;\-&quot;€&quot;\ * #,##0.00_-;_-&quot;€&quot;\ * &quot;-&quot;??_-;_-@_-"/>
    <numFmt numFmtId="165" formatCode="_-* #,##0.00\ [$€-1]_-;\-* #,##0.00\ [$€-1]_-;_-* &quot;-&quot;??\ [$€-1]_-"/>
    <numFmt numFmtId="166" formatCode="000\-00\-00\-0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0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164" fontId="4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11" fillId="0" borderId="0"/>
    <xf numFmtId="0" fontId="1" fillId="0" borderId="0"/>
    <xf numFmtId="0" fontId="4" fillId="0" borderId="0"/>
    <xf numFmtId="0" fontId="18" fillId="0" borderId="0"/>
  </cellStyleXfs>
  <cellXfs count="73">
    <xf numFmtId="0" fontId="0" fillId="0" borderId="0" xfId="0"/>
    <xf numFmtId="0" fontId="8" fillId="0" borderId="0" xfId="0" applyFont="1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14" fillId="0" borderId="0" xfId="0" applyFont="1"/>
    <xf numFmtId="0" fontId="14" fillId="0" borderId="1" xfId="0" applyFont="1" applyBorder="1"/>
    <xf numFmtId="49" fontId="14" fillId="0" borderId="0" xfId="0" applyNumberFormat="1" applyFont="1"/>
    <xf numFmtId="14" fontId="14" fillId="0" borderId="0" xfId="0" applyNumberFormat="1" applyFont="1" applyAlignment="1">
      <alignment horizontal="right"/>
    </xf>
    <xf numFmtId="49" fontId="4" fillId="0" borderId="1" xfId="0" applyNumberFormat="1" applyFont="1" applyBorder="1"/>
    <xf numFmtId="14" fontId="4" fillId="0" borderId="1" xfId="0" applyNumberFormat="1" applyFont="1" applyBorder="1" applyAlignment="1">
      <alignment horizontal="right"/>
    </xf>
    <xf numFmtId="0" fontId="15" fillId="0" borderId="1" xfId="0" applyFont="1" applyBorder="1"/>
    <xf numFmtId="1" fontId="4" fillId="0" borderId="1" xfId="0" applyNumberFormat="1" applyFont="1" applyBorder="1"/>
    <xf numFmtId="0" fontId="16" fillId="0" borderId="1" xfId="0" applyFont="1" applyBorder="1"/>
    <xf numFmtId="0" fontId="4" fillId="0" borderId="1" xfId="0" applyFont="1" applyBorder="1" applyAlignment="1">
      <alignment horizontal="left" wrapText="1"/>
    </xf>
    <xf numFmtId="49" fontId="5" fillId="0" borderId="2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/>
    <xf numFmtId="14" fontId="0" fillId="0" borderId="0" xfId="0" applyNumberFormat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4" fontId="5" fillId="2" borderId="2" xfId="0" applyNumberFormat="1" applyFont="1" applyFill="1" applyBorder="1" applyAlignment="1">
      <alignment horizontal="center" wrapText="1"/>
    </xf>
    <xf numFmtId="14" fontId="5" fillId="0" borderId="2" xfId="0" applyNumberFormat="1" applyFont="1" applyBorder="1" applyAlignment="1">
      <alignment horizontal="right" wrapText="1"/>
    </xf>
    <xf numFmtId="0" fontId="4" fillId="0" borderId="0" xfId="0" applyFont="1"/>
    <xf numFmtId="14" fontId="4" fillId="0" borderId="1" xfId="0" applyNumberFormat="1" applyFont="1" applyBorder="1"/>
    <xf numFmtId="0" fontId="1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/>
    </xf>
    <xf numFmtId="0" fontId="17" fillId="0" borderId="1" xfId="0" applyFont="1" applyBorder="1"/>
    <xf numFmtId="0" fontId="4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center"/>
    </xf>
    <xf numFmtId="166" fontId="15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166" fontId="16" fillId="0" borderId="1" xfId="0" applyNumberFormat="1" applyFont="1" applyBorder="1" applyAlignment="1">
      <alignment horizontal="left"/>
    </xf>
    <xf numFmtId="0" fontId="4" fillId="6" borderId="1" xfId="0" applyFont="1" applyFill="1" applyBorder="1"/>
    <xf numFmtId="1" fontId="4" fillId="6" borderId="1" xfId="0" applyNumberFormat="1" applyFont="1" applyFill="1" applyBorder="1" applyAlignment="1">
      <alignment horizontal="left"/>
    </xf>
    <xf numFmtId="0" fontId="4" fillId="7" borderId="1" xfId="0" applyFont="1" applyFill="1" applyBorder="1"/>
    <xf numFmtId="1" fontId="17" fillId="0" borderId="1" xfId="0" applyNumberFormat="1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3" xfId="0" applyFont="1" applyBorder="1" applyAlignment="1">
      <alignment horizontal="center"/>
    </xf>
    <xf numFmtId="0" fontId="14" fillId="0" borderId="3" xfId="0" applyFont="1" applyBorder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14" fontId="14" fillId="0" borderId="1" xfId="0" applyNumberFormat="1" applyFont="1" applyBorder="1" applyAlignment="1">
      <alignment horizontal="right"/>
    </xf>
    <xf numFmtId="14" fontId="4" fillId="0" borderId="3" xfId="0" applyNumberFormat="1" applyFont="1" applyBorder="1"/>
    <xf numFmtId="4" fontId="14" fillId="0" borderId="1" xfId="0" applyNumberFormat="1" applyFont="1" applyBorder="1"/>
    <xf numFmtId="49" fontId="14" fillId="0" borderId="1" xfId="0" applyNumberFormat="1" applyFont="1" applyBorder="1"/>
    <xf numFmtId="0" fontId="5" fillId="0" borderId="5" xfId="0" applyFont="1" applyBorder="1" applyAlignment="1">
      <alignment horizontal="center"/>
    </xf>
    <xf numFmtId="0" fontId="5" fillId="3" borderId="2" xfId="0" applyFont="1" applyFill="1" applyBorder="1" applyAlignment="1">
      <alignment wrapText="1"/>
    </xf>
    <xf numFmtId="0" fontId="5" fillId="0" borderId="0" xfId="0" applyFont="1"/>
    <xf numFmtId="0" fontId="0" fillId="0" borderId="4" xfId="0" applyBorder="1"/>
    <xf numFmtId="0" fontId="8" fillId="0" borderId="4" xfId="0" applyFont="1" applyBorder="1"/>
    <xf numFmtId="0" fontId="14" fillId="0" borderId="4" xfId="0" applyFont="1" applyBorder="1"/>
    <xf numFmtId="49" fontId="14" fillId="0" borderId="4" xfId="0" applyNumberFormat="1" applyFont="1" applyBorder="1"/>
    <xf numFmtId="14" fontId="14" fillId="0" borderId="4" xfId="0" applyNumberFormat="1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0" fillId="0" borderId="6" xfId="0" applyBorder="1"/>
    <xf numFmtId="0" fontId="19" fillId="8" borderId="2" xfId="0" applyFont="1" applyFill="1" applyBorder="1" applyAlignment="1">
      <alignment horizontal="center" wrapText="1"/>
    </xf>
    <xf numFmtId="0" fontId="20" fillId="8" borderId="1" xfId="0" applyFont="1" applyFill="1" applyBorder="1"/>
    <xf numFmtId="1" fontId="20" fillId="8" borderId="1" xfId="0" applyNumberFormat="1" applyFont="1" applyFill="1" applyBorder="1"/>
    <xf numFmtId="0" fontId="20" fillId="8" borderId="3" xfId="0" applyFont="1" applyFill="1" applyBorder="1"/>
    <xf numFmtId="0" fontId="21" fillId="8" borderId="4" xfId="0" applyFont="1" applyFill="1" applyBorder="1"/>
    <xf numFmtId="0" fontId="21" fillId="8" borderId="1" xfId="0" applyFont="1" applyFill="1" applyBorder="1"/>
    <xf numFmtId="0" fontId="21" fillId="8" borderId="0" xfId="0" applyFont="1" applyFill="1"/>
    <xf numFmtId="0" fontId="5" fillId="9" borderId="2" xfId="0" applyFont="1" applyFill="1" applyBorder="1" applyAlignment="1">
      <alignment horizontal="center" wrapText="1"/>
    </xf>
    <xf numFmtId="0" fontId="4" fillId="9" borderId="1" xfId="0" applyFont="1" applyFill="1" applyBorder="1"/>
    <xf numFmtId="0" fontId="14" fillId="9" borderId="1" xfId="0" applyFont="1" applyFill="1" applyBorder="1"/>
    <xf numFmtId="0" fontId="14" fillId="9" borderId="3" xfId="0" applyFont="1" applyFill="1" applyBorder="1"/>
    <xf numFmtId="0" fontId="14" fillId="9" borderId="0" xfId="0" applyFont="1" applyFill="1"/>
    <xf numFmtId="0" fontId="4" fillId="9" borderId="0" xfId="0" applyFont="1" applyFill="1" applyAlignment="1">
      <alignment wrapText="1"/>
    </xf>
    <xf numFmtId="0" fontId="4" fillId="9" borderId="3" xfId="0" applyFont="1" applyFill="1" applyBorder="1"/>
    <xf numFmtId="0" fontId="5" fillId="9" borderId="3" xfId="0" applyFont="1" applyFill="1" applyBorder="1"/>
  </cellXfs>
  <cellStyles count="26">
    <cellStyle name="Euro" xfId="1" xr:uid="{00000000-0005-0000-0000-000000000000}"/>
    <cellStyle name="Euro 2" xfId="2" xr:uid="{00000000-0005-0000-0000-000001000000}"/>
    <cellStyle name="Euro 2 2" xfId="11" xr:uid="{00000000-0005-0000-0000-000002000000}"/>
    <cellStyle name="Euro 3" xfId="3" xr:uid="{00000000-0005-0000-0000-000003000000}"/>
    <cellStyle name="Euro 3 2" xfId="12" xr:uid="{00000000-0005-0000-0000-000004000000}"/>
    <cellStyle name="Hyperlink 6" xfId="4" xr:uid="{00000000-0005-0000-0000-000005000000}"/>
    <cellStyle name="Standard" xfId="0" builtinId="0"/>
    <cellStyle name="Standard 10" xfId="25" xr:uid="{00000000-0005-0000-0000-000008000000}"/>
    <cellStyle name="Standard 2" xfId="5" xr:uid="{00000000-0005-0000-0000-000009000000}"/>
    <cellStyle name="Standard 2 2" xfId="13" xr:uid="{00000000-0005-0000-0000-00000A000000}"/>
    <cellStyle name="Standard 2 3" xfId="22" xr:uid="{00000000-0005-0000-0000-00000B000000}"/>
    <cellStyle name="Standard 3" xfId="6" xr:uid="{00000000-0005-0000-0000-00000C000000}"/>
    <cellStyle name="Standard 3 2" xfId="14" xr:uid="{00000000-0005-0000-0000-00000D000000}"/>
    <cellStyle name="Standard 4" xfId="7" xr:uid="{00000000-0005-0000-0000-00000E000000}"/>
    <cellStyle name="Standard 4 2" xfId="15" xr:uid="{00000000-0005-0000-0000-00000F000000}"/>
    <cellStyle name="Standard 5" xfId="8" xr:uid="{00000000-0005-0000-0000-000010000000}"/>
    <cellStyle name="Standard 5 2" xfId="16" xr:uid="{00000000-0005-0000-0000-000011000000}"/>
    <cellStyle name="Standard 6" xfId="9" xr:uid="{00000000-0005-0000-0000-000012000000}"/>
    <cellStyle name="Standard 6 2" xfId="17" xr:uid="{00000000-0005-0000-0000-000013000000}"/>
    <cellStyle name="Standard 7" xfId="10" xr:uid="{00000000-0005-0000-0000-000014000000}"/>
    <cellStyle name="Standard 7 2" xfId="18" xr:uid="{00000000-0005-0000-0000-000015000000}"/>
    <cellStyle name="Standard 7 3" xfId="20" xr:uid="{00000000-0005-0000-0000-000016000000}"/>
    <cellStyle name="Standard 8" xfId="23" xr:uid="{00000000-0005-0000-0000-000017000000}"/>
    <cellStyle name="Standard 9" xfId="24" xr:uid="{00000000-0005-0000-0000-000018000000}"/>
    <cellStyle name="Währung 2" xfId="19" xr:uid="{00000000-0005-0000-0000-000019000000}"/>
    <cellStyle name="Währung 3" xfId="21" xr:uid="{00000000-0005-0000-0000-00001A000000}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Ansicht1" id="{80ED62C9-06FB-45C9-9BEB-65F83D18C425}"/>
  <namedSheetView name="AV" id="{4188EC15-500A-43B7-A774-4ADD0E05BAD6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Hutter Günther" id="{DCDDF16C-673C-40C1-9906-07B5693C416C}" userId="S::hg@o365.htl-leoben.at::c99baf05-48e5-4713-a540-a2e4684120f8" providerId="AD"/>
</personList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941" dT="2023-10-20T11:15:23.95" personId="{DCDDF16C-673C-40C1-9906-07B5693C416C}" id="{74D3341A-0649-4CED-AB10-4784F57F8E3B}">
    <text>Achting: Zeilen noch expandieren (Verletzung 1NF)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2"/>
  <sheetViews>
    <sheetView tabSelected="1" zoomScaleNormal="100" workbookViewId="0">
      <pane ySplit="1" topLeftCell="A2" activePane="bottomLeft" state="frozen"/>
      <selection activeCell="F1" sqref="F1"/>
      <selection pane="bottomLeft" activeCell="I10" sqref="I10"/>
    </sheetView>
  </sheetViews>
  <sheetFormatPr baseColWidth="10" defaultColWidth="11.36328125" defaultRowHeight="13" x14ac:dyDescent="0.3"/>
  <cols>
    <col min="1" max="1" width="32" style="50" customWidth="1"/>
    <col min="2" max="2" width="38.08984375" customWidth="1"/>
    <col min="3" max="3" width="18.6328125" customWidth="1"/>
    <col min="4" max="4" width="21.7265625" style="18" customWidth="1"/>
    <col min="5" max="5" width="17.36328125" customWidth="1"/>
    <col min="6" max="6" width="11.08984375" style="5" customWidth="1"/>
    <col min="7" max="7" width="14.26953125" style="5" customWidth="1"/>
    <col min="8" max="8" width="17.81640625" style="5" customWidth="1"/>
    <col min="9" max="9" width="16.08984375" style="5" customWidth="1"/>
    <col min="10" max="10" width="21" style="5" customWidth="1"/>
    <col min="11" max="11" width="25.7265625" style="7" customWidth="1"/>
    <col min="12" max="12" width="32" style="64" customWidth="1"/>
    <col min="13" max="13" width="11.81640625" style="8" bestFit="1" customWidth="1"/>
    <col min="14" max="14" width="35.7265625" style="5" customWidth="1"/>
    <col min="15" max="15" width="23.08984375" style="5" customWidth="1"/>
    <col min="16" max="16" width="19.81640625" style="5" customWidth="1"/>
    <col min="17" max="17" width="17.26953125" style="69" customWidth="1"/>
    <col min="18" max="18" width="19.81640625" style="69" customWidth="1"/>
    <col min="19" max="19" width="33.08984375" style="5" customWidth="1"/>
    <col min="20" max="20" width="16.36328125" style="5" customWidth="1"/>
    <col min="21" max="16384" width="11.36328125" style="5"/>
  </cols>
  <sheetData>
    <row r="1" spans="1:20" customFormat="1" ht="38" x14ac:dyDescent="0.3">
      <c r="A1" s="49" t="s">
        <v>0</v>
      </c>
      <c r="B1" s="19" t="s">
        <v>1</v>
      </c>
      <c r="C1" s="20" t="s">
        <v>2</v>
      </c>
      <c r="D1" s="21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19" t="s">
        <v>12</v>
      </c>
      <c r="J1" s="19" t="s">
        <v>8</v>
      </c>
      <c r="K1" s="15" t="s">
        <v>9</v>
      </c>
      <c r="L1" s="58" t="s">
        <v>10</v>
      </c>
      <c r="M1" s="22" t="s">
        <v>11</v>
      </c>
      <c r="N1" s="19" t="s">
        <v>13</v>
      </c>
      <c r="O1" s="20" t="s">
        <v>14</v>
      </c>
      <c r="P1" s="20" t="s">
        <v>15</v>
      </c>
      <c r="Q1" s="65" t="s">
        <v>16</v>
      </c>
      <c r="R1" s="70" t="s">
        <v>17</v>
      </c>
      <c r="S1" s="23" t="s">
        <v>18</v>
      </c>
    </row>
    <row r="2" spans="1:20" s="1" customFormat="1" ht="15" customHeight="1" x14ac:dyDescent="0.3">
      <c r="A2" s="2" t="s">
        <v>24</v>
      </c>
      <c r="B2" s="11" t="s">
        <v>64</v>
      </c>
      <c r="C2" s="3" t="s">
        <v>65</v>
      </c>
      <c r="D2" s="43">
        <v>43742</v>
      </c>
      <c r="E2" s="42" t="s">
        <v>66</v>
      </c>
      <c r="F2" s="3">
        <v>1</v>
      </c>
      <c r="G2" s="46">
        <v>29</v>
      </c>
      <c r="H2" s="3">
        <v>86</v>
      </c>
      <c r="I2" s="30" t="s">
        <v>68</v>
      </c>
      <c r="J2" s="11" t="s">
        <v>67</v>
      </c>
      <c r="K2" s="9"/>
      <c r="L2" s="59" t="str">
        <f>+LEFT(B2,24)</f>
        <v>Logitech Lautsprecher Z2</v>
      </c>
      <c r="M2" s="10"/>
      <c r="N2" s="3"/>
      <c r="O2" s="3"/>
      <c r="P2" s="3" t="s">
        <v>26</v>
      </c>
      <c r="Q2" s="66"/>
      <c r="R2" s="71"/>
      <c r="S2" s="3"/>
      <c r="T2" s="5"/>
    </row>
    <row r="3" spans="1:20" s="1" customFormat="1" ht="15" customHeight="1" x14ac:dyDescent="0.3">
      <c r="A3" s="2" t="s">
        <v>24</v>
      </c>
      <c r="B3" s="42" t="s">
        <v>127</v>
      </c>
      <c r="C3" s="42" t="s">
        <v>128</v>
      </c>
      <c r="D3" s="43">
        <v>44867</v>
      </c>
      <c r="E3" s="42" t="s">
        <v>129</v>
      </c>
      <c r="F3" s="6">
        <v>35</v>
      </c>
      <c r="G3" s="46">
        <v>52.67</v>
      </c>
      <c r="H3" s="46">
        <v>1843.45</v>
      </c>
      <c r="I3" s="33" t="s">
        <v>132</v>
      </c>
      <c r="J3" s="6" t="s">
        <v>67</v>
      </c>
      <c r="K3" s="47"/>
      <c r="L3" s="59" t="s">
        <v>127</v>
      </c>
      <c r="M3" s="44">
        <f t="shared" ref="M3" si="0">+D3+365*2</f>
        <v>45597</v>
      </c>
      <c r="N3" s="6"/>
      <c r="O3" s="6" t="s">
        <v>126</v>
      </c>
      <c r="P3" s="6" t="s">
        <v>126</v>
      </c>
      <c r="Q3" s="67"/>
      <c r="R3" s="66"/>
      <c r="S3" s="6"/>
      <c r="T3" s="5"/>
    </row>
    <row r="4" spans="1:20" x14ac:dyDescent="0.3">
      <c r="A4" s="2" t="s">
        <v>19</v>
      </c>
      <c r="B4" s="3" t="s">
        <v>59</v>
      </c>
      <c r="C4" s="3" t="s">
        <v>58</v>
      </c>
      <c r="D4" s="24">
        <v>44175</v>
      </c>
      <c r="E4" s="3">
        <v>20239451</v>
      </c>
      <c r="F4" s="3">
        <v>1</v>
      </c>
      <c r="G4" s="3"/>
      <c r="H4" s="3"/>
      <c r="I4" s="28" t="s">
        <v>61</v>
      </c>
      <c r="J4" s="3" t="s">
        <v>60</v>
      </c>
      <c r="K4" s="9"/>
      <c r="L4" s="59"/>
      <c r="M4" s="10"/>
      <c r="N4" s="3"/>
      <c r="O4" s="3" t="s">
        <v>23</v>
      </c>
      <c r="P4" s="3" t="s">
        <v>20</v>
      </c>
      <c r="Q4" s="66"/>
      <c r="R4" s="66"/>
      <c r="S4" s="3" t="s">
        <v>62</v>
      </c>
    </row>
    <row r="5" spans="1:20" x14ac:dyDescent="0.3">
      <c r="A5" s="56" t="s">
        <v>19</v>
      </c>
      <c r="B5" s="3" t="s">
        <v>48</v>
      </c>
      <c r="C5" s="3" t="s">
        <v>49</v>
      </c>
      <c r="D5" s="3" t="s">
        <v>25</v>
      </c>
      <c r="E5" s="3" t="s">
        <v>25</v>
      </c>
      <c r="F5" s="3">
        <v>1</v>
      </c>
      <c r="G5" s="17">
        <v>127</v>
      </c>
      <c r="H5" s="3" t="s">
        <v>25</v>
      </c>
      <c r="I5" s="28" t="s">
        <v>57</v>
      </c>
      <c r="J5" s="36" t="s">
        <v>53</v>
      </c>
      <c r="K5" s="3" t="s">
        <v>50</v>
      </c>
      <c r="L5" s="59" t="s">
        <v>51</v>
      </c>
      <c r="M5" s="3" t="s">
        <v>52</v>
      </c>
      <c r="N5" s="3" t="s">
        <v>25</v>
      </c>
      <c r="O5" s="3" t="s">
        <v>25</v>
      </c>
      <c r="P5" s="3" t="s">
        <v>20</v>
      </c>
      <c r="Q5" s="66" t="s">
        <v>25</v>
      </c>
      <c r="R5" s="72" t="s">
        <v>25</v>
      </c>
      <c r="S5" s="3"/>
    </row>
    <row r="6" spans="1:20" x14ac:dyDescent="0.3">
      <c r="A6" s="4" t="s">
        <v>71</v>
      </c>
      <c r="B6" s="3" t="s">
        <v>130</v>
      </c>
      <c r="C6" s="12" t="s">
        <v>120</v>
      </c>
      <c r="D6" s="24"/>
      <c r="E6" s="12" t="s">
        <v>46</v>
      </c>
      <c r="F6" s="3"/>
      <c r="G6" s="12">
        <v>166.45</v>
      </c>
      <c r="H6" s="3"/>
      <c r="I6" s="12" t="s">
        <v>131</v>
      </c>
      <c r="J6" s="34" t="s">
        <v>30</v>
      </c>
      <c r="K6" s="9"/>
      <c r="L6" s="59"/>
      <c r="M6" s="24"/>
      <c r="N6" s="3"/>
      <c r="O6" s="3"/>
      <c r="P6" s="3" t="s">
        <v>112</v>
      </c>
      <c r="Q6" s="66"/>
      <c r="R6" s="66"/>
      <c r="S6" s="3"/>
    </row>
    <row r="7" spans="1:20" ht="15" customHeight="1" x14ac:dyDescent="0.3">
      <c r="A7" s="2" t="s">
        <v>19</v>
      </c>
      <c r="B7" s="11" t="s">
        <v>38</v>
      </c>
      <c r="C7" s="3"/>
      <c r="D7" s="10"/>
      <c r="E7" s="3"/>
      <c r="F7" s="3"/>
      <c r="G7" s="3"/>
      <c r="H7" s="3"/>
      <c r="I7" s="28" t="s">
        <v>41</v>
      </c>
      <c r="J7" s="3" t="s">
        <v>39</v>
      </c>
      <c r="K7" s="3" t="s">
        <v>40</v>
      </c>
      <c r="L7" s="59"/>
      <c r="M7" s="10"/>
      <c r="N7" s="3"/>
      <c r="O7" s="3"/>
      <c r="P7" s="3" t="s">
        <v>20</v>
      </c>
      <c r="Q7" s="66"/>
      <c r="R7" s="66"/>
      <c r="S7" s="3" t="s">
        <v>42</v>
      </c>
    </row>
    <row r="8" spans="1:20" ht="12.75" customHeight="1" x14ac:dyDescent="0.3">
      <c r="A8" s="2" t="s">
        <v>44</v>
      </c>
      <c r="B8" s="3" t="s">
        <v>133</v>
      </c>
      <c r="C8" s="12" t="s">
        <v>75</v>
      </c>
      <c r="D8" s="10">
        <v>44110</v>
      </c>
      <c r="E8" s="12">
        <v>241036</v>
      </c>
      <c r="F8" s="3">
        <v>1</v>
      </c>
      <c r="G8" s="12">
        <v>51</v>
      </c>
      <c r="H8" s="3"/>
      <c r="I8" s="31" t="s">
        <v>134</v>
      </c>
      <c r="J8" s="3" t="s">
        <v>22</v>
      </c>
      <c r="K8" s="3"/>
      <c r="L8" s="60"/>
      <c r="M8" s="10"/>
      <c r="N8" s="24"/>
      <c r="O8" s="3"/>
      <c r="P8" s="3" t="s">
        <v>45</v>
      </c>
      <c r="Q8" s="66" t="s">
        <v>43</v>
      </c>
      <c r="R8" s="66"/>
      <c r="S8" s="3"/>
    </row>
    <row r="9" spans="1:20" ht="12.75" customHeight="1" x14ac:dyDescent="0.3">
      <c r="A9" s="2" t="s">
        <v>27</v>
      </c>
      <c r="B9" s="3" t="s">
        <v>106</v>
      </c>
      <c r="C9" s="12" t="s">
        <v>107</v>
      </c>
      <c r="D9" s="10"/>
      <c r="E9" s="12"/>
      <c r="F9" s="3"/>
      <c r="G9" s="12"/>
      <c r="H9" s="3"/>
      <c r="I9" s="31" t="s">
        <v>110</v>
      </c>
      <c r="J9" s="3" t="s">
        <v>47</v>
      </c>
      <c r="K9" s="3" t="s">
        <v>108</v>
      </c>
      <c r="L9" s="60" t="s">
        <v>109</v>
      </c>
      <c r="M9" s="10"/>
      <c r="N9" s="24"/>
      <c r="O9" s="3"/>
      <c r="P9" s="3" t="s">
        <v>29</v>
      </c>
      <c r="Q9" s="66"/>
      <c r="R9" s="66" t="s">
        <v>111</v>
      </c>
      <c r="S9" s="3"/>
    </row>
    <row r="10" spans="1:20" ht="12.75" customHeight="1" x14ac:dyDescent="0.3">
      <c r="A10" s="2" t="s">
        <v>121</v>
      </c>
      <c r="B10" s="11" t="s">
        <v>122</v>
      </c>
      <c r="C10" s="12" t="s">
        <v>123</v>
      </c>
      <c r="D10" s="10">
        <v>44525</v>
      </c>
      <c r="E10" s="26">
        <v>131206397</v>
      </c>
      <c r="F10" s="3">
        <v>1</v>
      </c>
      <c r="G10" s="12">
        <v>262.02</v>
      </c>
      <c r="H10" s="3"/>
      <c r="I10" s="30" t="s">
        <v>124</v>
      </c>
      <c r="J10" s="3" t="s">
        <v>28</v>
      </c>
      <c r="K10" s="3"/>
      <c r="L10" s="59"/>
      <c r="M10" s="10"/>
      <c r="N10" s="24"/>
      <c r="O10" s="3"/>
      <c r="P10" s="3" t="s">
        <v>125</v>
      </c>
      <c r="Q10" s="66"/>
      <c r="R10" s="71"/>
      <c r="S10" s="3"/>
    </row>
    <row r="11" spans="1:20" ht="12.75" customHeight="1" x14ac:dyDescent="0.3">
      <c r="A11" s="2" t="s">
        <v>79</v>
      </c>
      <c r="B11" s="3" t="s">
        <v>80</v>
      </c>
      <c r="C11" s="12" t="s">
        <v>81</v>
      </c>
      <c r="D11" s="10"/>
      <c r="E11" s="12" t="s">
        <v>46</v>
      </c>
      <c r="F11" s="3"/>
      <c r="G11" s="12"/>
      <c r="H11" s="3"/>
      <c r="I11" s="35" t="s">
        <v>82</v>
      </c>
      <c r="J11" s="3" t="s">
        <v>55</v>
      </c>
      <c r="K11" s="3"/>
      <c r="L11" s="60"/>
      <c r="M11" s="10"/>
      <c r="N11" s="24"/>
      <c r="O11" s="3"/>
      <c r="P11" s="3" t="s">
        <v>56</v>
      </c>
      <c r="Q11" s="66"/>
      <c r="R11" s="71" t="s">
        <v>83</v>
      </c>
      <c r="S11" s="3"/>
    </row>
    <row r="12" spans="1:20" ht="12.75" customHeight="1" x14ac:dyDescent="0.3">
      <c r="A12" s="2" t="s">
        <v>72</v>
      </c>
      <c r="B12" s="13" t="s">
        <v>101</v>
      </c>
      <c r="C12" s="13" t="s">
        <v>69</v>
      </c>
      <c r="D12" s="29">
        <v>43565</v>
      </c>
      <c r="E12" s="3"/>
      <c r="F12" s="3"/>
      <c r="G12" s="3"/>
      <c r="H12" s="3"/>
      <c r="I12" s="32" t="s">
        <v>102</v>
      </c>
      <c r="J12" s="3" t="s">
        <v>54</v>
      </c>
      <c r="K12" s="9"/>
      <c r="L12" s="59"/>
      <c r="M12" s="10"/>
      <c r="N12" s="3"/>
      <c r="O12" s="3" t="s">
        <v>73</v>
      </c>
      <c r="P12" s="3" t="s">
        <v>73</v>
      </c>
      <c r="Q12" s="66"/>
      <c r="R12" s="66" t="s">
        <v>74</v>
      </c>
      <c r="S12" s="3"/>
    </row>
    <row r="13" spans="1:20" ht="12.75" customHeight="1" x14ac:dyDescent="0.3">
      <c r="A13" s="2" t="s">
        <v>72</v>
      </c>
      <c r="B13" s="13" t="s">
        <v>101</v>
      </c>
      <c r="C13" s="13" t="s">
        <v>69</v>
      </c>
      <c r="D13" s="29">
        <v>43565</v>
      </c>
      <c r="E13" s="3"/>
      <c r="F13" s="3"/>
      <c r="G13" s="3"/>
      <c r="H13" s="3"/>
      <c r="I13" s="32" t="s">
        <v>103</v>
      </c>
      <c r="J13" s="3" t="s">
        <v>54</v>
      </c>
      <c r="K13" s="9"/>
      <c r="L13" s="59"/>
      <c r="M13" s="10"/>
      <c r="N13" s="3"/>
      <c r="O13" s="3" t="s">
        <v>73</v>
      </c>
      <c r="P13" s="3" t="s">
        <v>73</v>
      </c>
      <c r="Q13" s="66"/>
      <c r="R13" s="66" t="s">
        <v>74</v>
      </c>
      <c r="S13" s="3"/>
    </row>
    <row r="14" spans="1:20" ht="12.75" customHeight="1" x14ac:dyDescent="0.3">
      <c r="A14" s="2" t="s">
        <v>72</v>
      </c>
      <c r="B14" s="13" t="s">
        <v>101</v>
      </c>
      <c r="C14" s="13" t="s">
        <v>69</v>
      </c>
      <c r="D14" s="29">
        <v>43565</v>
      </c>
      <c r="E14" s="3"/>
      <c r="F14" s="3"/>
      <c r="G14" s="3"/>
      <c r="H14" s="3"/>
      <c r="I14" s="32" t="s">
        <v>104</v>
      </c>
      <c r="J14" s="3" t="s">
        <v>54</v>
      </c>
      <c r="K14" s="9"/>
      <c r="L14" s="59"/>
      <c r="M14" s="10"/>
      <c r="N14" s="3"/>
      <c r="O14" s="3" t="s">
        <v>73</v>
      </c>
      <c r="P14" s="3" t="s">
        <v>73</v>
      </c>
      <c r="Q14" s="66"/>
      <c r="R14" s="66" t="s">
        <v>74</v>
      </c>
      <c r="S14" s="3"/>
    </row>
    <row r="15" spans="1:20" ht="12.75" customHeight="1" x14ac:dyDescent="0.3">
      <c r="A15" s="2" t="s">
        <v>72</v>
      </c>
      <c r="B15" s="13" t="s">
        <v>101</v>
      </c>
      <c r="C15" s="13" t="s">
        <v>69</v>
      </c>
      <c r="D15" s="29">
        <v>43565</v>
      </c>
      <c r="E15" s="3"/>
      <c r="F15" s="3"/>
      <c r="G15" s="3"/>
      <c r="H15" s="3"/>
      <c r="I15" s="32" t="s">
        <v>105</v>
      </c>
      <c r="J15" s="3" t="s">
        <v>54</v>
      </c>
      <c r="K15" s="9"/>
      <c r="L15" s="59"/>
      <c r="M15" s="10"/>
      <c r="N15" s="3"/>
      <c r="O15" s="3" t="s">
        <v>73</v>
      </c>
      <c r="P15" s="3" t="s">
        <v>73</v>
      </c>
      <c r="Q15" s="66"/>
      <c r="R15" s="66" t="s">
        <v>74</v>
      </c>
      <c r="S15" s="3"/>
    </row>
    <row r="16" spans="1:20" ht="12.75" customHeight="1" x14ac:dyDescent="0.3">
      <c r="A16" s="4" t="s">
        <v>31</v>
      </c>
      <c r="B16" s="3" t="s">
        <v>76</v>
      </c>
      <c r="C16" s="12" t="s">
        <v>77</v>
      </c>
      <c r="D16" s="10">
        <v>36846</v>
      </c>
      <c r="E16" s="12"/>
      <c r="F16" s="3">
        <v>1</v>
      </c>
      <c r="G16" s="37">
        <v>24696</v>
      </c>
      <c r="H16" s="3"/>
      <c r="I16" s="12" t="s">
        <v>78</v>
      </c>
      <c r="J16" s="3" t="s">
        <v>32</v>
      </c>
      <c r="K16" s="3"/>
      <c r="L16" s="60"/>
      <c r="M16" s="10"/>
      <c r="N16" s="3"/>
      <c r="O16" s="3"/>
      <c r="P16" s="39" t="s">
        <v>33</v>
      </c>
      <c r="Q16" s="66"/>
      <c r="R16" s="66"/>
      <c r="S16" s="3"/>
    </row>
    <row r="17" spans="1:19" x14ac:dyDescent="0.3">
      <c r="A17" s="2" t="s">
        <v>70</v>
      </c>
      <c r="B17" s="3" t="s">
        <v>84</v>
      </c>
      <c r="C17" s="12"/>
      <c r="D17" s="25">
        <v>2017</v>
      </c>
      <c r="E17" s="12"/>
      <c r="F17" s="3"/>
      <c r="G17" s="12"/>
      <c r="H17" s="3"/>
      <c r="I17" s="31" t="s">
        <v>85</v>
      </c>
      <c r="J17" s="14" t="s">
        <v>21</v>
      </c>
      <c r="K17" s="3"/>
      <c r="L17" s="60"/>
      <c r="M17" s="10"/>
      <c r="N17" s="24"/>
      <c r="O17" s="3" t="s">
        <v>37</v>
      </c>
      <c r="P17" s="3" t="s">
        <v>37</v>
      </c>
      <c r="Q17" s="66" t="s">
        <v>86</v>
      </c>
      <c r="R17" s="66"/>
      <c r="S17" s="3"/>
    </row>
    <row r="18" spans="1:19" x14ac:dyDescent="0.3">
      <c r="A18" s="2" t="s">
        <v>70</v>
      </c>
      <c r="B18" s="3" t="s">
        <v>84</v>
      </c>
      <c r="C18" s="12"/>
      <c r="D18" s="25">
        <v>2017</v>
      </c>
      <c r="E18" s="12"/>
      <c r="F18" s="3"/>
      <c r="G18" s="12"/>
      <c r="H18" s="3"/>
      <c r="I18" s="31" t="s">
        <v>87</v>
      </c>
      <c r="J18" s="14" t="s">
        <v>21</v>
      </c>
      <c r="K18" s="3"/>
      <c r="L18" s="60"/>
      <c r="M18" s="10"/>
      <c r="N18" s="24"/>
      <c r="O18" s="3" t="s">
        <v>37</v>
      </c>
      <c r="P18" s="3" t="s">
        <v>37</v>
      </c>
      <c r="Q18" s="66" t="s">
        <v>88</v>
      </c>
      <c r="R18" s="66"/>
      <c r="S18" s="3"/>
    </row>
    <row r="19" spans="1:19" x14ac:dyDescent="0.3">
      <c r="A19" s="2" t="s">
        <v>70</v>
      </c>
      <c r="B19" s="3" t="s">
        <v>84</v>
      </c>
      <c r="C19" s="12"/>
      <c r="D19" s="25">
        <v>2017</v>
      </c>
      <c r="E19" s="12"/>
      <c r="F19" s="3"/>
      <c r="G19" s="12"/>
      <c r="H19" s="3"/>
      <c r="I19" s="31" t="s">
        <v>89</v>
      </c>
      <c r="J19" s="14" t="s">
        <v>21</v>
      </c>
      <c r="K19" s="3"/>
      <c r="L19" s="60"/>
      <c r="M19" s="10"/>
      <c r="N19" s="24"/>
      <c r="O19" s="3" t="s">
        <v>37</v>
      </c>
      <c r="P19" s="3" t="s">
        <v>37</v>
      </c>
      <c r="Q19" s="66" t="s">
        <v>90</v>
      </c>
      <c r="R19" s="66"/>
      <c r="S19" s="3"/>
    </row>
    <row r="20" spans="1:19" x14ac:dyDescent="0.3">
      <c r="A20" s="2" t="s">
        <v>70</v>
      </c>
      <c r="B20" s="3" t="s">
        <v>84</v>
      </c>
      <c r="C20" s="12"/>
      <c r="D20" s="25">
        <v>2017</v>
      </c>
      <c r="E20" s="12"/>
      <c r="F20" s="3"/>
      <c r="G20" s="12"/>
      <c r="H20" s="3"/>
      <c r="I20" s="31" t="s">
        <v>91</v>
      </c>
      <c r="J20" s="14" t="s">
        <v>21</v>
      </c>
      <c r="K20" s="3"/>
      <c r="L20" s="60"/>
      <c r="M20" s="10"/>
      <c r="N20" s="24"/>
      <c r="O20" s="3" t="s">
        <v>37</v>
      </c>
      <c r="P20" s="3" t="s">
        <v>37</v>
      </c>
      <c r="Q20" s="66" t="s">
        <v>92</v>
      </c>
      <c r="R20" s="66"/>
      <c r="S20" s="3"/>
    </row>
    <row r="21" spans="1:19" x14ac:dyDescent="0.3">
      <c r="A21" s="2" t="s">
        <v>70</v>
      </c>
      <c r="B21" s="3" t="s">
        <v>84</v>
      </c>
      <c r="C21" s="12"/>
      <c r="D21" s="25">
        <v>2017</v>
      </c>
      <c r="E21" s="12"/>
      <c r="F21" s="3"/>
      <c r="G21" s="12"/>
      <c r="H21" s="3"/>
      <c r="I21" s="31" t="s">
        <v>93</v>
      </c>
      <c r="J21" s="14" t="s">
        <v>21</v>
      </c>
      <c r="K21" s="3"/>
      <c r="L21" s="60"/>
      <c r="M21" s="10"/>
      <c r="N21" s="24"/>
      <c r="O21" s="3" t="s">
        <v>37</v>
      </c>
      <c r="P21" s="3" t="s">
        <v>37</v>
      </c>
      <c r="Q21" s="66" t="s">
        <v>94</v>
      </c>
      <c r="R21" s="66"/>
      <c r="S21" s="3"/>
    </row>
    <row r="22" spans="1:19" x14ac:dyDescent="0.3">
      <c r="A22" s="2" t="s">
        <v>70</v>
      </c>
      <c r="B22" s="3" t="s">
        <v>84</v>
      </c>
      <c r="C22" s="12"/>
      <c r="D22" s="25">
        <v>2017</v>
      </c>
      <c r="E22" s="12"/>
      <c r="F22" s="3"/>
      <c r="G22" s="12"/>
      <c r="H22" s="3"/>
      <c r="I22" s="31" t="s">
        <v>95</v>
      </c>
      <c r="J22" s="14" t="s">
        <v>21</v>
      </c>
      <c r="K22" s="3"/>
      <c r="L22" s="60"/>
      <c r="M22" s="10"/>
      <c r="N22" s="24"/>
      <c r="O22" s="3" t="s">
        <v>37</v>
      </c>
      <c r="P22" s="3" t="s">
        <v>37</v>
      </c>
      <c r="Q22" s="66" t="s">
        <v>96</v>
      </c>
      <c r="R22" s="66"/>
      <c r="S22" s="3"/>
    </row>
    <row r="23" spans="1:19" x14ac:dyDescent="0.3">
      <c r="A23" s="2" t="s">
        <v>70</v>
      </c>
      <c r="B23" s="3" t="s">
        <v>84</v>
      </c>
      <c r="C23" s="12"/>
      <c r="D23" s="25">
        <v>2017</v>
      </c>
      <c r="E23" s="12"/>
      <c r="F23" s="3"/>
      <c r="G23" s="12"/>
      <c r="H23" s="3"/>
      <c r="I23" s="31" t="s">
        <v>97</v>
      </c>
      <c r="J23" s="14" t="s">
        <v>21</v>
      </c>
      <c r="K23" s="3"/>
      <c r="L23" s="60"/>
      <c r="M23" s="10"/>
      <c r="N23" s="24"/>
      <c r="O23" s="3" t="s">
        <v>37</v>
      </c>
      <c r="P23" s="3" t="s">
        <v>37</v>
      </c>
      <c r="Q23" s="66" t="s">
        <v>98</v>
      </c>
      <c r="R23" s="66"/>
      <c r="S23" s="3"/>
    </row>
    <row r="24" spans="1:19" x14ac:dyDescent="0.3">
      <c r="A24" s="2" t="s">
        <v>70</v>
      </c>
      <c r="B24" s="3" t="s">
        <v>84</v>
      </c>
      <c r="C24" s="12"/>
      <c r="D24" s="25">
        <v>2017</v>
      </c>
      <c r="E24" s="12"/>
      <c r="F24" s="3"/>
      <c r="G24" s="12"/>
      <c r="H24" s="3"/>
      <c r="I24" s="31" t="s">
        <v>99</v>
      </c>
      <c r="J24" s="14" t="s">
        <v>21</v>
      </c>
      <c r="K24" s="3"/>
      <c r="L24" s="60"/>
      <c r="M24" s="10"/>
      <c r="N24" s="24"/>
      <c r="O24" s="3" t="s">
        <v>37</v>
      </c>
      <c r="P24" s="3" t="s">
        <v>37</v>
      </c>
      <c r="Q24" s="66" t="s">
        <v>100</v>
      </c>
      <c r="R24" s="66"/>
      <c r="S24" s="3"/>
    </row>
    <row r="25" spans="1:19" x14ac:dyDescent="0.3">
      <c r="A25" s="16" t="s">
        <v>35</v>
      </c>
      <c r="B25" s="3" t="s">
        <v>114</v>
      </c>
      <c r="C25" s="3" t="s">
        <v>113</v>
      </c>
      <c r="D25" s="24">
        <v>36158</v>
      </c>
      <c r="E25" s="3"/>
      <c r="F25" s="3">
        <v>1</v>
      </c>
      <c r="G25" s="27">
        <v>9643</v>
      </c>
      <c r="H25" s="3"/>
      <c r="I25" s="28" t="s">
        <v>115</v>
      </c>
      <c r="J25" s="3" t="s">
        <v>63</v>
      </c>
      <c r="K25" s="3"/>
      <c r="L25" s="59"/>
      <c r="M25" s="10"/>
      <c r="N25" s="3"/>
      <c r="O25" s="3"/>
      <c r="P25" s="3" t="s">
        <v>36</v>
      </c>
      <c r="Q25" s="66"/>
      <c r="R25" s="66"/>
      <c r="S25" s="3"/>
    </row>
    <row r="26" spans="1:19" x14ac:dyDescent="0.3">
      <c r="A26" s="16" t="s">
        <v>35</v>
      </c>
      <c r="B26" s="3" t="s">
        <v>116</v>
      </c>
      <c r="C26" s="3"/>
      <c r="D26" s="3"/>
      <c r="E26" s="3"/>
      <c r="F26" s="3">
        <v>1</v>
      </c>
      <c r="G26" s="3"/>
      <c r="H26" s="3"/>
      <c r="I26" s="28" t="s">
        <v>117</v>
      </c>
      <c r="J26" s="3" t="s">
        <v>63</v>
      </c>
      <c r="K26" s="3"/>
      <c r="L26" s="59"/>
      <c r="M26" s="10"/>
      <c r="N26" s="3"/>
      <c r="O26" s="3"/>
      <c r="P26" s="3" t="s">
        <v>36</v>
      </c>
      <c r="Q26" s="66"/>
      <c r="R26" s="66"/>
      <c r="S26" s="3"/>
    </row>
    <row r="27" spans="1:19" x14ac:dyDescent="0.3">
      <c r="A27" s="16" t="s">
        <v>35</v>
      </c>
      <c r="B27" s="3" t="s">
        <v>118</v>
      </c>
      <c r="C27" s="3"/>
      <c r="D27" s="3"/>
      <c r="E27" s="3"/>
      <c r="F27" s="3">
        <v>1</v>
      </c>
      <c r="G27" s="3"/>
      <c r="H27" s="3"/>
      <c r="I27" s="28" t="s">
        <v>119</v>
      </c>
      <c r="J27" s="3" t="s">
        <v>63</v>
      </c>
      <c r="K27" s="3"/>
      <c r="L27" s="59"/>
      <c r="M27" s="10"/>
      <c r="N27" s="3"/>
      <c r="O27" s="3"/>
      <c r="P27" s="3" t="s">
        <v>36</v>
      </c>
      <c r="Q27" s="66"/>
      <c r="R27" s="66"/>
      <c r="S27" s="3"/>
    </row>
    <row r="28" spans="1:19" x14ac:dyDescent="0.3">
      <c r="A28" s="48" t="s">
        <v>34</v>
      </c>
      <c r="B28" s="38" t="s">
        <v>136</v>
      </c>
      <c r="C28" s="38" t="s">
        <v>137</v>
      </c>
      <c r="D28" s="45"/>
      <c r="E28" s="38"/>
      <c r="F28" s="38"/>
      <c r="G28" s="38"/>
      <c r="H28" s="38"/>
      <c r="I28" s="38" t="s">
        <v>138</v>
      </c>
      <c r="J28" s="38"/>
      <c r="K28" s="38"/>
      <c r="L28" s="61"/>
      <c r="M28" s="38"/>
      <c r="N28" s="38"/>
      <c r="O28" s="38"/>
      <c r="P28" s="38"/>
      <c r="Q28" s="68"/>
      <c r="R28" s="68"/>
      <c r="S28" s="41"/>
    </row>
    <row r="29" spans="1:19" x14ac:dyDescent="0.3">
      <c r="A29" s="40" t="s">
        <v>121</v>
      </c>
      <c r="B29" s="3" t="s">
        <v>140</v>
      </c>
      <c r="C29" s="51" t="s">
        <v>69</v>
      </c>
      <c r="D29" s="43"/>
      <c r="E29" s="52"/>
      <c r="F29" s="53">
        <v>1</v>
      </c>
      <c r="G29" s="53"/>
      <c r="H29" s="53"/>
      <c r="I29" s="32" t="s">
        <v>141</v>
      </c>
      <c r="J29" s="3"/>
      <c r="K29" s="54"/>
      <c r="L29" s="62"/>
      <c r="M29" s="55"/>
      <c r="N29" s="53"/>
      <c r="O29" s="39" t="s">
        <v>135</v>
      </c>
      <c r="P29" s="39" t="s">
        <v>135</v>
      </c>
      <c r="Q29" s="68"/>
      <c r="R29" s="66"/>
      <c r="S29" s="41"/>
    </row>
    <row r="30" spans="1:19" x14ac:dyDescent="0.3">
      <c r="A30" s="40" t="s">
        <v>121</v>
      </c>
      <c r="B30" s="3" t="s">
        <v>142</v>
      </c>
      <c r="C30" s="51" t="s">
        <v>69</v>
      </c>
      <c r="D30" s="43"/>
      <c r="E30" s="52"/>
      <c r="F30" s="53">
        <v>1</v>
      </c>
      <c r="G30" s="53"/>
      <c r="H30" s="53"/>
      <c r="I30" s="32" t="s">
        <v>143</v>
      </c>
      <c r="J30" s="3"/>
      <c r="K30" s="54"/>
      <c r="L30" s="62"/>
      <c r="M30" s="55"/>
      <c r="N30" s="53"/>
      <c r="O30" s="39" t="s">
        <v>135</v>
      </c>
      <c r="P30" s="39" t="s">
        <v>135</v>
      </c>
      <c r="Q30" s="68"/>
      <c r="R30" s="66"/>
      <c r="S30" s="41"/>
    </row>
    <row r="31" spans="1:19" x14ac:dyDescent="0.3">
      <c r="A31" s="40" t="s">
        <v>71</v>
      </c>
      <c r="B31" s="57" t="s">
        <v>144</v>
      </c>
      <c r="C31" s="51" t="s">
        <v>145</v>
      </c>
      <c r="D31" s="43"/>
      <c r="E31" s="52"/>
      <c r="F31" s="53">
        <v>1</v>
      </c>
      <c r="G31" s="53"/>
      <c r="H31" s="53"/>
      <c r="I31" s="32" t="s">
        <v>146</v>
      </c>
      <c r="J31" s="3"/>
      <c r="K31" s="54"/>
      <c r="L31" s="62"/>
      <c r="M31" s="55"/>
      <c r="N31" s="53"/>
      <c r="O31" s="39" t="s">
        <v>139</v>
      </c>
      <c r="P31" s="39" t="s">
        <v>139</v>
      </c>
      <c r="Q31" s="68"/>
      <c r="R31" s="66"/>
      <c r="S31" s="41"/>
    </row>
    <row r="32" spans="1:19" x14ac:dyDescent="0.3">
      <c r="A32" s="40" t="s">
        <v>71</v>
      </c>
      <c r="B32" s="57" t="s">
        <v>147</v>
      </c>
      <c r="C32" s="51" t="s">
        <v>145</v>
      </c>
      <c r="D32" s="43"/>
      <c r="E32" s="52"/>
      <c r="F32" s="53">
        <v>1</v>
      </c>
      <c r="G32" s="53"/>
      <c r="H32" s="53"/>
      <c r="I32" s="32" t="s">
        <v>148</v>
      </c>
      <c r="J32" s="3"/>
      <c r="K32" s="54"/>
      <c r="L32" s="62"/>
      <c r="M32" s="55"/>
      <c r="N32" s="53"/>
      <c r="O32" s="39" t="s">
        <v>139</v>
      </c>
      <c r="P32" s="39" t="s">
        <v>139</v>
      </c>
      <c r="Q32" s="68"/>
      <c r="R32" s="66"/>
      <c r="S32" s="41"/>
    </row>
    <row r="33" spans="1:19" x14ac:dyDescent="0.3">
      <c r="A33" s="40" t="s">
        <v>71</v>
      </c>
      <c r="B33" s="57" t="s">
        <v>149</v>
      </c>
      <c r="C33" s="51" t="s">
        <v>145</v>
      </c>
      <c r="D33" s="43"/>
      <c r="E33" s="52"/>
      <c r="F33" s="53">
        <v>1</v>
      </c>
      <c r="G33" s="53"/>
      <c r="H33" s="53"/>
      <c r="I33" s="32" t="s">
        <v>150</v>
      </c>
      <c r="J33" s="3"/>
      <c r="K33" s="54"/>
      <c r="L33" s="62"/>
      <c r="M33" s="55"/>
      <c r="N33" s="53"/>
      <c r="O33" s="39" t="s">
        <v>139</v>
      </c>
      <c r="P33" s="39" t="s">
        <v>139</v>
      </c>
      <c r="Q33" s="68"/>
      <c r="R33" s="66"/>
      <c r="S33" s="41"/>
    </row>
    <row r="34" spans="1:19" x14ac:dyDescent="0.3">
      <c r="A34" s="40" t="s">
        <v>71</v>
      </c>
      <c r="B34" s="57" t="s">
        <v>151</v>
      </c>
      <c r="C34" s="51" t="s">
        <v>120</v>
      </c>
      <c r="D34" s="43"/>
      <c r="E34" s="52"/>
      <c r="F34" s="53">
        <v>1</v>
      </c>
      <c r="G34" s="53"/>
      <c r="H34" s="53"/>
      <c r="I34" s="32" t="s">
        <v>152</v>
      </c>
      <c r="J34" s="3"/>
      <c r="K34" s="54"/>
      <c r="L34" s="62"/>
      <c r="M34" s="55"/>
      <c r="N34" s="53"/>
      <c r="O34" s="39" t="s">
        <v>139</v>
      </c>
      <c r="P34" s="39" t="s">
        <v>139</v>
      </c>
      <c r="Q34" s="68"/>
      <c r="R34" s="66"/>
      <c r="S34" s="41"/>
    </row>
    <row r="35" spans="1:19" x14ac:dyDescent="0.3">
      <c r="A35" s="40" t="s">
        <v>121</v>
      </c>
      <c r="B35" s="3" t="s">
        <v>153</v>
      </c>
      <c r="C35" s="51" t="s">
        <v>120</v>
      </c>
      <c r="D35" s="43"/>
      <c r="E35" s="52"/>
      <c r="F35" s="53">
        <v>1</v>
      </c>
      <c r="G35" s="53"/>
      <c r="H35" s="53"/>
      <c r="I35" s="32" t="s">
        <v>154</v>
      </c>
      <c r="J35" s="3"/>
      <c r="K35" s="54"/>
      <c r="L35" s="62"/>
      <c r="M35" s="55"/>
      <c r="N35" s="53"/>
      <c r="O35" s="39" t="s">
        <v>135</v>
      </c>
      <c r="P35" s="39" t="s">
        <v>135</v>
      </c>
      <c r="Q35" s="68"/>
      <c r="R35" s="66"/>
      <c r="S35" s="41"/>
    </row>
    <row r="36" spans="1:19" x14ac:dyDescent="0.3">
      <c r="A36" s="40" t="s">
        <v>121</v>
      </c>
      <c r="B36" s="3" t="s">
        <v>156</v>
      </c>
      <c r="C36" s="51" t="s">
        <v>120</v>
      </c>
      <c r="D36" s="43"/>
      <c r="E36" s="52"/>
      <c r="F36" s="53">
        <v>1</v>
      </c>
      <c r="G36" s="53"/>
      <c r="H36" s="53"/>
      <c r="I36" s="32" t="s">
        <v>155</v>
      </c>
      <c r="J36" s="3"/>
      <c r="K36" s="54"/>
      <c r="L36" s="62"/>
      <c r="M36" s="55"/>
      <c r="N36" s="53"/>
      <c r="O36" s="39" t="s">
        <v>135</v>
      </c>
      <c r="P36" s="39" t="s">
        <v>135</v>
      </c>
      <c r="Q36" s="68"/>
      <c r="R36" s="66"/>
      <c r="S36" s="41"/>
    </row>
    <row r="37" spans="1:19" x14ac:dyDescent="0.3">
      <c r="A37" s="40" t="s">
        <v>121</v>
      </c>
      <c r="B37" s="3" t="s">
        <v>157</v>
      </c>
      <c r="C37" s="51" t="s">
        <v>120</v>
      </c>
      <c r="D37" s="43"/>
      <c r="E37" s="52"/>
      <c r="F37" s="53">
        <v>1</v>
      </c>
      <c r="G37" s="53"/>
      <c r="H37" s="53"/>
      <c r="I37" s="32" t="s">
        <v>158</v>
      </c>
      <c r="J37" s="3"/>
      <c r="K37" s="54"/>
      <c r="L37" s="62"/>
      <c r="M37" s="55"/>
      <c r="N37" s="53"/>
      <c r="O37" s="39" t="s">
        <v>135</v>
      </c>
      <c r="P37" s="39" t="s">
        <v>135</v>
      </c>
      <c r="Q37" s="68"/>
      <c r="R37" s="66"/>
      <c r="S37" s="41"/>
    </row>
    <row r="38" spans="1:19" x14ac:dyDescent="0.3">
      <c r="A38" s="40" t="s">
        <v>71</v>
      </c>
      <c r="B38" t="s">
        <v>159</v>
      </c>
      <c r="C38" s="51"/>
      <c r="D38" s="43"/>
      <c r="E38" s="52"/>
      <c r="F38" s="53">
        <v>1</v>
      </c>
      <c r="G38" s="53"/>
      <c r="H38" s="53"/>
      <c r="I38" s="32" t="s">
        <v>160</v>
      </c>
      <c r="J38" s="3"/>
      <c r="K38" s="54"/>
      <c r="L38" s="62"/>
      <c r="M38" s="55"/>
      <c r="N38" s="53"/>
      <c r="O38" s="39" t="s">
        <v>139</v>
      </c>
      <c r="P38" s="39" t="s">
        <v>139</v>
      </c>
      <c r="Q38" s="68"/>
      <c r="R38" s="66"/>
      <c r="S38" s="41"/>
    </row>
    <row r="39" spans="1:19" ht="12.75" customHeight="1" x14ac:dyDescent="0.3">
      <c r="A39" s="2" t="s">
        <v>44</v>
      </c>
      <c r="B39" s="3" t="s">
        <v>161</v>
      </c>
      <c r="C39" s="12" t="s">
        <v>162</v>
      </c>
      <c r="D39" s="10"/>
      <c r="E39" s="12"/>
      <c r="F39" s="3">
        <v>1</v>
      </c>
      <c r="G39" s="12"/>
      <c r="H39" s="3"/>
      <c r="I39" s="31" t="s">
        <v>163</v>
      </c>
      <c r="J39" s="3" t="s">
        <v>22</v>
      </c>
      <c r="K39" s="3"/>
      <c r="L39" s="60"/>
      <c r="M39" s="10"/>
      <c r="N39" s="24"/>
      <c r="O39" s="3"/>
      <c r="P39" s="3" t="s">
        <v>45</v>
      </c>
      <c r="Q39" s="66" t="s">
        <v>43</v>
      </c>
      <c r="R39" s="66"/>
      <c r="S39" s="3"/>
    </row>
    <row r="40" spans="1:19" ht="12.75" customHeight="1" x14ac:dyDescent="0.3">
      <c r="A40" s="2" t="s">
        <v>164</v>
      </c>
      <c r="B40" s="42" t="s">
        <v>165</v>
      </c>
      <c r="C40" s="42" t="s">
        <v>166</v>
      </c>
      <c r="D40" s="43">
        <v>45236</v>
      </c>
      <c r="E40" s="42">
        <v>806287</v>
      </c>
      <c r="F40" s="6">
        <v>1</v>
      </c>
      <c r="G40" s="6">
        <v>1056</v>
      </c>
      <c r="H40" s="6"/>
      <c r="I40" s="6" t="s">
        <v>167</v>
      </c>
      <c r="J40" s="6" t="s">
        <v>168</v>
      </c>
      <c r="K40" s="47"/>
      <c r="L40" s="63"/>
      <c r="M40" s="44"/>
      <c r="N40" s="6"/>
      <c r="O40" s="6" t="s">
        <v>135</v>
      </c>
      <c r="P40" s="6" t="s">
        <v>135</v>
      </c>
      <c r="Q40" s="67"/>
      <c r="R40" s="67"/>
      <c r="S40" s="6"/>
    </row>
    <row r="41" spans="1:19" ht="12.75" customHeight="1" x14ac:dyDescent="0.3">
      <c r="A41" s="4" t="s">
        <v>169</v>
      </c>
      <c r="B41" s="3" t="s">
        <v>170</v>
      </c>
      <c r="C41" s="12" t="s">
        <v>171</v>
      </c>
      <c r="D41" s="10">
        <v>36335</v>
      </c>
      <c r="E41" s="12"/>
      <c r="F41" s="3"/>
      <c r="G41" s="37">
        <v>4816.8</v>
      </c>
      <c r="H41" s="3"/>
      <c r="I41" s="12" t="s">
        <v>172</v>
      </c>
      <c r="J41" s="3" t="s">
        <v>173</v>
      </c>
      <c r="K41" s="3"/>
      <c r="L41" s="60"/>
      <c r="M41" s="10"/>
      <c r="N41" s="3"/>
      <c r="O41" s="3"/>
      <c r="P41" s="3"/>
      <c r="Q41" s="66"/>
      <c r="R41" s="66"/>
      <c r="S41" s="3"/>
    </row>
    <row r="42" spans="1:19" x14ac:dyDescent="0.3">
      <c r="A42" s="16" t="s">
        <v>174</v>
      </c>
      <c r="B42" s="3" t="s">
        <v>175</v>
      </c>
      <c r="C42" s="3" t="s">
        <v>176</v>
      </c>
      <c r="D42" s="24">
        <v>42300</v>
      </c>
      <c r="E42" s="3">
        <v>92042295</v>
      </c>
      <c r="F42" s="3">
        <v>1</v>
      </c>
      <c r="G42" s="3"/>
      <c r="H42" s="3"/>
      <c r="I42" s="28" t="s">
        <v>177</v>
      </c>
      <c r="J42" s="3" t="s">
        <v>178</v>
      </c>
      <c r="K42" s="3"/>
      <c r="L42" s="59"/>
      <c r="M42" s="10"/>
      <c r="N42" s="3"/>
      <c r="O42" s="3"/>
      <c r="P42" s="3" t="s">
        <v>33</v>
      </c>
      <c r="Q42" s="66"/>
      <c r="R42" s="71"/>
      <c r="S42" s="3"/>
    </row>
  </sheetData>
  <autoFilter ref="A1:X28" xr:uid="{00000000-0009-0000-0000-000000000000}"/>
  <phoneticPr fontId="0" type="noConversion"/>
  <conditionalFormatting sqref="R2 R10 R25:R27 I25:I27">
    <cfRule type="containsBlanks" dxfId="2" priority="19">
      <formula>LEN(TRIM(I2))=0</formula>
    </cfRule>
  </conditionalFormatting>
  <conditionalFormatting sqref="R5 R11">
    <cfRule type="containsBlanks" dxfId="1" priority="24">
      <formula>LEN(TRIM(R5))=0</formula>
    </cfRule>
  </conditionalFormatting>
  <conditionalFormatting sqref="I42 R42">
    <cfRule type="containsBlanks" dxfId="0" priority="1">
      <formula>LEN(TRIM(I42))=0</formula>
    </cfRule>
  </conditionalFormatting>
  <pageMargins left="7.874015748031496E-2" right="7.874015748031496E-2" top="0.47244094488188981" bottom="0.19685039370078741" header="0.19685039370078741" footer="0.31496062992125984"/>
  <pageSetup paperSize="8" scale="51" fitToHeight="0" orientation="landscape" r:id="rId1"/>
  <headerFooter alignWithMargins="0">
    <oddHeader>&amp;L&amp;F&amp;RSeite &amp;P/&amp;N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68CE62B48A5B47B8F4E50B97B1A851" ma:contentTypeVersion="4" ma:contentTypeDescription="Ein neues Dokument erstellen." ma:contentTypeScope="" ma:versionID="fcd9e437eba7ff7b30dd6e16b95c8990">
  <xsd:schema xmlns:xsd="http://www.w3.org/2001/XMLSchema" xmlns:xs="http://www.w3.org/2001/XMLSchema" xmlns:p="http://schemas.microsoft.com/office/2006/metadata/properties" xmlns:ns2="99a9e333-5e29-42dc-a313-ea6a094b30e9" targetNamespace="http://schemas.microsoft.com/office/2006/metadata/properties" ma:root="true" ma:fieldsID="5070b93cd0a5b2ab50f00256efa9af4f" ns2:_="">
    <xsd:import namespace="99a9e333-5e29-42dc-a313-ea6a094b30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9e333-5e29-42dc-a313-ea6a094b3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457BB5-25DF-4EB8-BBA3-E8AB3D2D24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133C94-77EC-484B-A8BC-314AE0CC6F17}">
  <ds:schemaRefs>
    <ds:schemaRef ds:uri="http://schemas.microsoft.com/office/2006/metadata/properties"/>
    <ds:schemaRef ds:uri="99a9e333-5e29-42dc-a313-ea6a094b30e9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6A6AFDC-49E2-446E-9613-F2929FDD5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a9e333-5e29-42dc-a313-ea6a094b30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Gesamtinventar</vt:lpstr>
      <vt:lpstr>Gesamtinventar!Druckbereich</vt:lpstr>
      <vt:lpstr>Gesamtinventar!Drucktitel</vt:lpstr>
    </vt:vector>
  </TitlesOfParts>
  <Manager/>
  <Company>hch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Hofer</dc:creator>
  <cp:keywords/>
  <dc:description/>
  <cp:lastModifiedBy>Andre Karner</cp:lastModifiedBy>
  <cp:revision/>
  <cp:lastPrinted>2025-09-02T11:18:31Z</cp:lastPrinted>
  <dcterms:created xsi:type="dcterms:W3CDTF">2002-06-26T17:27:29Z</dcterms:created>
  <dcterms:modified xsi:type="dcterms:W3CDTF">2026-01-02T22:04:29Z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0x010100A668CE62B48A5B47B8F4E50B97B1A851</vt:lpwstr>
  </property>
</Properties>
</file>